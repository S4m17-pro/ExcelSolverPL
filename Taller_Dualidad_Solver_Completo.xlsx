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ons\OneDrive\Desktop\Repos GIT\SolverExcel\"/>
    </mc:Choice>
  </mc:AlternateContent>
  <xr:revisionPtr revIDLastSave="0" documentId="13_ncr:1_{B9886F57-A4AA-49C8-BA14-FBA55445CCE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1 - Primal" sheetId="1" r:id="rId1"/>
    <sheet name="E1 - Dual" sheetId="2" r:id="rId2"/>
    <sheet name="E2 - Primal" sheetId="3" r:id="rId3"/>
    <sheet name="E2 - Informe Primal" sheetId="10" r:id="rId4"/>
    <sheet name="E2 - Dual" sheetId="4" r:id="rId5"/>
    <sheet name="E3 - Primal" sheetId="5" r:id="rId6"/>
    <sheet name="E3 - Dual" sheetId="6" r:id="rId7"/>
    <sheet name="E4 - Primal" sheetId="7" r:id="rId8"/>
    <sheet name="E4 - Dual" sheetId="8" r:id="rId9"/>
  </sheets>
  <definedNames>
    <definedName name="solver_adj" localSheetId="4" hidden="1">'E2 - Dual'!$B$2:$G$2</definedName>
    <definedName name="solver_adj" localSheetId="2" hidden="1">'E2 - Primal'!$B$2:$E$2</definedName>
    <definedName name="solver_cvg" localSheetId="4" hidden="1">0.0001</definedName>
    <definedName name="solver_cvg" localSheetId="2" hidden="1">0.0001</definedName>
    <definedName name="solver_drv" localSheetId="4" hidden="1">1</definedName>
    <definedName name="solver_drv" localSheetId="2" hidden="1">1</definedName>
    <definedName name="solver_eng" localSheetId="4" hidden="1">2</definedName>
    <definedName name="solver_eng" localSheetId="2" hidden="1">2</definedName>
    <definedName name="solver_est" localSheetId="4" hidden="1">1</definedName>
    <definedName name="solver_est" localSheetId="2" hidden="1">1</definedName>
    <definedName name="solver_itr" localSheetId="4" hidden="1">2147483647</definedName>
    <definedName name="solver_itr" localSheetId="2" hidden="1">2147483647</definedName>
    <definedName name="solver_lhs1" localSheetId="4" hidden="1">'E2 - Dual'!$H$4:$H$7</definedName>
    <definedName name="solver_lhs1" localSheetId="2" hidden="1">'E2 - Primal'!$F$4:$F$6</definedName>
    <definedName name="solver_lhs2" localSheetId="2" hidden="1">'E2 - Primal'!$B$6:$E$6</definedName>
    <definedName name="solver_lhs3" localSheetId="2" hidden="1">'E2 - Primal'!$B$6:$E$6</definedName>
    <definedName name="solver_mip" localSheetId="4" hidden="1">2147483647</definedName>
    <definedName name="solver_mip" localSheetId="2" hidden="1">2147483647</definedName>
    <definedName name="solver_mni" localSheetId="4" hidden="1">30</definedName>
    <definedName name="solver_mni" localSheetId="2" hidden="1">30</definedName>
    <definedName name="solver_mrt" localSheetId="4" hidden="1">0.075</definedName>
    <definedName name="solver_mrt" localSheetId="2" hidden="1">0.075</definedName>
    <definedName name="solver_msl" localSheetId="4" hidden="1">2</definedName>
    <definedName name="solver_msl" localSheetId="2" hidden="1">2</definedName>
    <definedName name="solver_neg" localSheetId="4" hidden="1">1</definedName>
    <definedName name="solver_neg" localSheetId="2" hidden="1">1</definedName>
    <definedName name="solver_nod" localSheetId="4" hidden="1">2147483647</definedName>
    <definedName name="solver_nod" localSheetId="2" hidden="1">2147483647</definedName>
    <definedName name="solver_num" localSheetId="4" hidden="1">1</definedName>
    <definedName name="solver_num" localSheetId="2" hidden="1">1</definedName>
    <definedName name="solver_nwt" localSheetId="4" hidden="1">1</definedName>
    <definedName name="solver_nwt" localSheetId="2" hidden="1">1</definedName>
    <definedName name="solver_opt" localSheetId="4" hidden="1">'E2 - Dual'!$B$9</definedName>
    <definedName name="solver_opt" localSheetId="2" hidden="1">'E2 - Primal'!$B$8</definedName>
    <definedName name="solver_pre" localSheetId="4" hidden="1">0.000001</definedName>
    <definedName name="solver_pre" localSheetId="2" hidden="1">0.000001</definedName>
    <definedName name="solver_rbv" localSheetId="4" hidden="1">1</definedName>
    <definedName name="solver_rbv" localSheetId="2" hidden="1">1</definedName>
    <definedName name="solver_rel1" localSheetId="4" hidden="1">3</definedName>
    <definedName name="solver_rel1" localSheetId="2" hidden="1">2</definedName>
    <definedName name="solver_rel2" localSheetId="2" hidden="1">2</definedName>
    <definedName name="solver_rel3" localSheetId="2" hidden="1">2</definedName>
    <definedName name="solver_rhs1" localSheetId="4" hidden="1">'E2 - Dual'!$J$4:$J$7</definedName>
    <definedName name="solver_rhs1" localSheetId="2" hidden="1">'E2 - Primal'!$H$4:$H$6</definedName>
    <definedName name="solver_rhs2" localSheetId="2" hidden="1">'E2 - Primal'!$H$6</definedName>
    <definedName name="solver_rhs3" localSheetId="2" hidden="1">'E2 - Primal'!$H$6</definedName>
    <definedName name="solver_rlx" localSheetId="4" hidden="1">2</definedName>
    <definedName name="solver_rlx" localSheetId="2" hidden="1">2</definedName>
    <definedName name="solver_rsd" localSheetId="4" hidden="1">0</definedName>
    <definedName name="solver_rsd" localSheetId="2" hidden="1">0</definedName>
    <definedName name="solver_scl" localSheetId="4" hidden="1">1</definedName>
    <definedName name="solver_scl" localSheetId="2" hidden="1">1</definedName>
    <definedName name="solver_sho" localSheetId="4" hidden="1">2</definedName>
    <definedName name="solver_sho" localSheetId="2" hidden="1">2</definedName>
    <definedName name="solver_ssz" localSheetId="4" hidden="1">100</definedName>
    <definedName name="solver_ssz" localSheetId="2" hidden="1">100</definedName>
    <definedName name="solver_tim" localSheetId="4" hidden="1">2147483647</definedName>
    <definedName name="solver_tim" localSheetId="2" hidden="1">2147483647</definedName>
    <definedName name="solver_tol" localSheetId="4" hidden="1">0.01</definedName>
    <definedName name="solver_tol" localSheetId="2" hidden="1">0.01</definedName>
    <definedName name="solver_typ" localSheetId="4" hidden="1">2</definedName>
    <definedName name="solver_typ" localSheetId="2" hidden="1">1</definedName>
    <definedName name="solver_val" localSheetId="4" hidden="1">0</definedName>
    <definedName name="solver_val" localSheetId="2" hidden="1">0</definedName>
    <definedName name="solver_ver" localSheetId="4" hidden="1">3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4" l="1"/>
  <c r="H7" i="4"/>
  <c r="K7" i="4" s="1"/>
  <c r="H4" i="4"/>
  <c r="K4" i="4" s="1"/>
  <c r="F6" i="3"/>
  <c r="I6" i="3" s="1"/>
  <c r="F4" i="3"/>
  <c r="I4" i="3" s="1"/>
  <c r="B8" i="8"/>
  <c r="E6" i="8"/>
  <c r="H6" i="8" s="1"/>
  <c r="E5" i="8"/>
  <c r="H5" i="8" s="1"/>
  <c r="E4" i="8"/>
  <c r="H4" i="8" s="1"/>
  <c r="B8" i="7"/>
  <c r="E6" i="7"/>
  <c r="H6" i="7" s="1"/>
  <c r="E5" i="7"/>
  <c r="H5" i="7" s="1"/>
  <c r="E4" i="7"/>
  <c r="H4" i="7" s="1"/>
  <c r="B8" i="6"/>
  <c r="F6" i="6"/>
  <c r="I6" i="6" s="1"/>
  <c r="F5" i="6"/>
  <c r="I5" i="6" s="1"/>
  <c r="I4" i="6"/>
  <c r="F4" i="6"/>
  <c r="B9" i="5"/>
  <c r="E7" i="5"/>
  <c r="H7" i="5" s="1"/>
  <c r="H6" i="5"/>
  <c r="E6" i="5"/>
  <c r="E5" i="5"/>
  <c r="H5" i="5" s="1"/>
  <c r="E4" i="5"/>
  <c r="H4" i="5" s="1"/>
  <c r="H6" i="4"/>
  <c r="K6" i="4" s="1"/>
  <c r="H5" i="4"/>
  <c r="K5" i="4" s="1"/>
  <c r="B8" i="3"/>
  <c r="F5" i="3"/>
  <c r="I5" i="3" s="1"/>
  <c r="B8" i="2"/>
  <c r="E6" i="2"/>
  <c r="H6" i="2" s="1"/>
  <c r="H5" i="2"/>
  <c r="E5" i="2"/>
  <c r="E4" i="2"/>
  <c r="H4" i="2" s="1"/>
  <c r="B8" i="1"/>
  <c r="H6" i="1"/>
  <c r="E6" i="1"/>
  <c r="E5" i="1"/>
  <c r="H5" i="1" s="1"/>
  <c r="E4" i="1"/>
  <c r="H4" i="1" s="1"/>
</calcChain>
</file>

<file path=xl/sharedStrings.xml><?xml version="1.0" encoding="utf-8"?>
<sst xmlns="http://schemas.openxmlformats.org/spreadsheetml/2006/main" count="185" uniqueCount="67">
  <si>
    <t>Variables</t>
  </si>
  <si>
    <t>X1</t>
  </si>
  <si>
    <t>X2</t>
  </si>
  <si>
    <t>X3</t>
  </si>
  <si>
    <t>X4</t>
  </si>
  <si>
    <t>Variables a encontrar</t>
  </si>
  <si>
    <t>Restricciones</t>
  </si>
  <si>
    <t>Recursos Utilizados</t>
  </si>
  <si>
    <t>Desigualdad</t>
  </si>
  <si>
    <t>Recursos Disponibles</t>
  </si>
  <si>
    <t>Holgura</t>
  </si>
  <si>
    <t>R1</t>
  </si>
  <si>
    <t>R2</t>
  </si>
  <si>
    <t>R3</t>
  </si>
  <si>
    <t>R4</t>
  </si>
  <si>
    <t>Coef f Objetivo</t>
  </si>
  <si>
    <t>Z(min/max)</t>
  </si>
  <si>
    <t>"="</t>
  </si>
  <si>
    <t>Y1</t>
  </si>
  <si>
    <t>Y2</t>
  </si>
  <si>
    <t>Y3</t>
  </si>
  <si>
    <t>Y4</t>
  </si>
  <si>
    <t>Y5</t>
  </si>
  <si>
    <t>Y6</t>
  </si>
  <si>
    <t>Microsoft Excel 16.0 Informe de respuestas</t>
  </si>
  <si>
    <t>Hoja de cálculo: [Taller_Dualidad_Solver_Completo.xlsx]E2 - Primal</t>
  </si>
  <si>
    <t>Informe creado: 13/10/2026 9:51:37 p. m.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</si>
  <si>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</si>
  <si>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</si>
  <si>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</si>
  <si>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</si>
  <si>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4 Subproblemas: 0</t>
  </si>
  <si>
    <t>Opciones de Solver</t>
  </si>
  <si>
    <t>Tiempo máximo Ilimitado,  Iteraciones Ilimitado, Precision 0,000001, Usar escala automática</t>
  </si>
  <si>
    <t>Máximo de subproblemas Ilimitado, Máximo de soluciones de enteros Ilimitado, Tolerancia de enteros 1%, Asumir no negativo</t>
  </si>
  <si>
    <t>Celda objetivo (Máx)</t>
  </si>
  <si>
    <t>Celda</t>
  </si>
  <si>
    <t>Nombre</t>
  </si>
  <si>
    <t>Valor original</t>
  </si>
  <si>
    <t>Valor final</t>
  </si>
  <si>
    <t>Celdas de variables</t>
  </si>
  <si>
    <t>Entero</t>
  </si>
  <si>
    <t>Valor de la celda</t>
  </si>
  <si>
    <t>Fórmula</t>
  </si>
  <si>
    <t>Estado</t>
  </si>
  <si>
    <t>Demora</t>
  </si>
  <si>
    <t>$B$8</t>
  </si>
  <si>
    <t>Z(min/max) X1</t>
  </si>
  <si>
    <t>$B$2</t>
  </si>
  <si>
    <t>Variables a encontrar X1</t>
  </si>
  <si>
    <t>Continuar</t>
  </si>
  <si>
    <t>$C$2</t>
  </si>
  <si>
    <t>Variables a encontrar X2</t>
  </si>
  <si>
    <t>$D$2</t>
  </si>
  <si>
    <t>Variables a encontrar X3</t>
  </si>
  <si>
    <t>$E$2</t>
  </si>
  <si>
    <t>Variables a encontrar X4</t>
  </si>
  <si>
    <t>$F$4</t>
  </si>
  <si>
    <t>R1 Recursos Utilizados</t>
  </si>
  <si>
    <t>$F$4=$H$4</t>
  </si>
  <si>
    <t>Vinculante</t>
  </si>
  <si>
    <t>$F$5</t>
  </si>
  <si>
    <t>R2 Recursos Utilizados</t>
  </si>
  <si>
    <t>$F$5=$H$5</t>
  </si>
  <si>
    <t>$F$6</t>
  </si>
  <si>
    <t>R3 Recursos Utilizados</t>
  </si>
  <si>
    <t>$F$6=$H$6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</si>
</sst>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7" x14ac:knownFonts="1">
    <font>
      <sz val="10"/>
      <color rgb="FF000000"/>
      <name val="Arial"/>
      <scheme val="minor"/>
    </font>
    <font>
      <b/>
      <sz val="10"/>
      <color rgb="FF000000"/>
      <name val="Roboto"/>
    </font>
    <font>
      <sz val="10"/>
      <color rgb="FF000000"/>
      <name val="Roboto"/>
    </font>
    <font>
      <u/>
      <sz val="10"/>
      <color rgb="FF000000"/>
      <name val="Arial"/>
      <family val="2"/>
      <scheme val="minor"/>
    </font>
    <font>
      <u/>
      <sz val="10"/>
      <color rgb="FF000000"/>
      <name val="Roboto"/>
    </font>
    <font>
      <b/>
      <sz val="10"/>
      <color rgb="FF000000"/>
      <name val="Arial"/>
      <family val="2"/>
      <scheme val="minor"/>
    </font>
    <font>
      <b/>
      <sz val="10"/>
      <color indexed="1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3F5"/>
        <bgColor rgb="FFF2F3F5"/>
      </patternFill>
    </fill>
    <fill>
      <patternFill patternType="solid">
        <fgColor rgb="FFFFF1CC"/>
        <bgColor rgb="FFFFF1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0" fontId="3" fillId="0" borderId="0" xfId="0" applyFont="1"/>
    <xf numFmtId="168" fontId="2" fillId="3" borderId="1" xfId="0" applyNumberFormat="1" applyFont="1" applyFill="1" applyBorder="1"/>
    <xf numFmtId="0" fontId="4" fillId="3" borderId="1" xfId="0" applyFont="1" applyFill="1" applyBorder="1"/>
    <xf numFmtId="0" fontId="5" fillId="0" borderId="0" xfId="0" applyFont="1"/>
    <xf numFmtId="0" fontId="0" fillId="0" borderId="3" xfId="0" applyFill="1" applyBorder="1" applyAlignment="1"/>
    <xf numFmtId="0" fontId="6" fillId="0" borderId="2" xfId="0" applyFont="1" applyFill="1" applyBorder="1" applyAlignment="1">
      <alignment horizontal="center"/>
    </xf>
    <xf numFmtId="0" fontId="0" fillId="0" borderId="4" xfId="0" applyFill="1" applyBorder="1" applyAlignment="1"/>
    <xf numFmtId="0" fontId="0" fillId="0" borderId="3" xfId="0" applyNumberFormat="1" applyFill="1" applyBorder="1" applyAlignment="1"/>
    <xf numFmtId="168" fontId="0" fillId="0" borderId="4" xfId="0" applyNumberFormat="1" applyFill="1" applyBorder="1" applyAlignment="1"/>
    <xf numFmtId="0" fontId="0" fillId="0" borderId="4" xfId="0" applyNumberForma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209550</xdr:colOff>
      <xdr:row>9</xdr:row>
      <xdr:rowOff>171450</xdr:rowOff>
    </xdr:from>
    <xdr:to>
      <xdr:col>7</xdr:col>
      <xdr:colOff>38694</xdr:colOff>
      <xdr:row>14</xdr:row>
      <xdr:rowOff>47747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877086E-1C93-FE9D-AC01-A06EBA877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1971675"/>
          <a:ext cx="4258269" cy="876422"/>
        </a:xfrm>
        <a:prstGeom prst="rect">
          <a:avLst/>
        </a:prstGeom>
      </xdr:spPr>
    </xdr:pic>
    <xdr:clientData/>
  </xdr:twoCellAnchor>
  <xdr:twoCellAnchor editAs="oneCell">
    <xdr:from>
      <xdr:col>9</xdr:col>
      <xdr:colOff>819150</xdr:colOff>
      <xdr:row>0</xdr:row>
      <xdr:rowOff>120258</xdr:rowOff>
    </xdr:from>
    <xdr:to>
      <xdr:col>13</xdr:col>
      <xdr:colOff>523874</xdr:colOff>
      <xdr:row>23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C85059-BB93-BE31-8A1E-239B33556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120258"/>
          <a:ext cx="3057524" cy="4585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514351</xdr:colOff>
      <xdr:row>14</xdr:row>
      <xdr:rowOff>133745</xdr:rowOff>
    </xdr:from>
    <xdr:to>
      <xdr:col>5</xdr:col>
      <xdr:colOff>1152526</xdr:colOff>
      <xdr:row>32</xdr:row>
      <xdr:rowOff>66675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EE79E-DCB1-A387-E397-0B5AE6EA4C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1" y="2934095"/>
          <a:ext cx="2952750" cy="35333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11</xdr:row>
      <xdr:rowOff>0</xdr:rowOff>
    </xdr:from>
    <xdr:to>
      <xdr:col>7</xdr:col>
      <xdr:colOff>904875</xdr:colOff>
      <xdr:row>23</xdr:row>
      <xdr:rowOff>188409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DDF4A5-B582-27CB-1783-38FD1912F6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2200275"/>
          <a:ext cx="3467099" cy="25887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8"/>
  <sheetViews>
    <sheetView workbookViewId="0">
      <selection activeCell="J24" sqref="J24"/>
    </sheetView>
  </sheetViews>
  <sheetFormatPr baseColWidth="10" defaultColWidth="12.5703125" defaultRowHeight="15.75" customHeight="1" x14ac:dyDescent="0.2"/>
  <cols>
    <col min="1" max="1" width="17.28515625" customWidth="1"/>
    <col min="2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x14ac:dyDescent="0.2">
      <c r="A2" s="1" t="s">
        <v>5</v>
      </c>
      <c r="B2" s="2"/>
      <c r="C2" s="2"/>
      <c r="D2" s="2"/>
      <c r="E2" s="3"/>
      <c r="F2" s="3"/>
      <c r="G2" s="3"/>
      <c r="H2" s="3"/>
    </row>
    <row r="3" spans="1:8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x14ac:dyDescent="0.2">
      <c r="A4" s="1" t="s">
        <v>11</v>
      </c>
      <c r="B4" s="3"/>
      <c r="C4" s="3"/>
      <c r="D4" s="3"/>
      <c r="E4" s="3">
        <f t="shared" ref="E4:E6" si="0">SUMPRODUCT($B$2:$D$2, B4:D4)</f>
        <v>0</v>
      </c>
      <c r="F4" s="3"/>
      <c r="G4" s="3"/>
      <c r="H4" s="3">
        <f t="shared" ref="H4:H6" si="1">G4-E4</f>
        <v>0</v>
      </c>
    </row>
    <row r="5" spans="1:8" x14ac:dyDescent="0.2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x14ac:dyDescent="0.2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x14ac:dyDescent="0.2">
      <c r="A7" s="1" t="s">
        <v>15</v>
      </c>
      <c r="B7" s="3"/>
      <c r="C7" s="3"/>
      <c r="D7" s="3"/>
      <c r="E7" s="3"/>
      <c r="F7" s="3"/>
      <c r="G7" s="3"/>
      <c r="H7" s="3"/>
    </row>
    <row r="8" spans="1:8" x14ac:dyDescent="0.2">
      <c r="A8" s="1" t="s">
        <v>16</v>
      </c>
      <c r="B8" s="2">
        <f>SUMPRODUCT($B$2:$D$2, B7:D7)</f>
        <v>0</v>
      </c>
      <c r="C8" s="3"/>
      <c r="D8" s="3"/>
      <c r="E8" s="3"/>
      <c r="F8" s="3"/>
      <c r="G8" s="3"/>
      <c r="H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8"/>
  <sheetViews>
    <sheetView workbookViewId="0"/>
  </sheetViews>
  <sheetFormatPr baseColWidth="10" defaultColWidth="12.5703125" defaultRowHeight="15.75" customHeight="1" x14ac:dyDescent="0.2"/>
  <cols>
    <col min="1" max="1" width="17.28515625" customWidth="1"/>
    <col min="2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x14ac:dyDescent="0.2">
      <c r="A2" s="1" t="s">
        <v>5</v>
      </c>
      <c r="B2" s="2"/>
      <c r="C2" s="2"/>
      <c r="D2" s="2"/>
      <c r="E2" s="3"/>
      <c r="F2" s="3"/>
      <c r="G2" s="3"/>
      <c r="H2" s="3"/>
    </row>
    <row r="3" spans="1:8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x14ac:dyDescent="0.2">
      <c r="A4" s="1" t="s">
        <v>11</v>
      </c>
      <c r="B4" s="3"/>
      <c r="C4" s="3"/>
      <c r="D4" s="3"/>
      <c r="E4" s="3">
        <f t="shared" ref="E4:E6" si="0">SUMPRODUCT($B$2:$D$2, B4:D4)</f>
        <v>0</v>
      </c>
      <c r="F4" s="3"/>
      <c r="G4" s="3"/>
      <c r="H4" s="3">
        <f t="shared" ref="H4:H6" si="1">G4-E4</f>
        <v>0</v>
      </c>
    </row>
    <row r="5" spans="1:8" x14ac:dyDescent="0.2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x14ac:dyDescent="0.2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x14ac:dyDescent="0.2">
      <c r="A7" s="1" t="s">
        <v>15</v>
      </c>
      <c r="B7" s="3"/>
      <c r="C7" s="3"/>
      <c r="D7" s="3"/>
      <c r="E7" s="3"/>
      <c r="F7" s="3"/>
      <c r="G7" s="3"/>
      <c r="H7" s="3"/>
    </row>
    <row r="8" spans="1:8" x14ac:dyDescent="0.2">
      <c r="A8" s="1" t="s">
        <v>16</v>
      </c>
      <c r="B8" s="2">
        <f>SUMPRODUCT($B$2:$D$2, B7:D7)</f>
        <v>0</v>
      </c>
      <c r="C8" s="3"/>
      <c r="D8" s="3"/>
      <c r="E8" s="3"/>
      <c r="F8" s="3"/>
      <c r="G8" s="3"/>
      <c r="H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2"/>
  <sheetViews>
    <sheetView tabSelected="1" workbookViewId="0">
      <selection activeCell="K32" sqref="K32"/>
    </sheetView>
  </sheetViews>
  <sheetFormatPr baseColWidth="10" defaultColWidth="12.5703125" defaultRowHeight="15.75" customHeight="1" x14ac:dyDescent="0.2"/>
  <cols>
    <col min="1" max="1" width="17.28515625" customWidth="1"/>
    <col min="2" max="3" width="4.5703125" customWidth="1"/>
    <col min="4" max="4" width="4.42578125" customWidth="1"/>
    <col min="5" max="5" width="3.85546875" customWidth="1"/>
    <col min="6" max="6" width="18.5703125" customWidth="1"/>
    <col min="7" max="7" width="13.140625" customWidth="1"/>
    <col min="8" max="8" width="20" customWidth="1"/>
    <col min="9" max="9" width="7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x14ac:dyDescent="0.2">
      <c r="A2" s="1" t="s">
        <v>5</v>
      </c>
      <c r="B2" s="5">
        <v>2.4999999999999991</v>
      </c>
      <c r="C2" s="5">
        <v>2.5</v>
      </c>
      <c r="D2" s="2">
        <v>2.5</v>
      </c>
      <c r="E2" s="2">
        <v>0</v>
      </c>
      <c r="F2" s="3"/>
      <c r="G2" s="3"/>
      <c r="H2" s="3"/>
      <c r="I2" s="3"/>
    </row>
    <row r="3" spans="1:9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x14ac:dyDescent="0.2">
      <c r="A4" s="1" t="s">
        <v>11</v>
      </c>
      <c r="B4" s="3">
        <v>1</v>
      </c>
      <c r="C4" s="3">
        <v>2</v>
      </c>
      <c r="D4" s="3">
        <v>3</v>
      </c>
      <c r="E4" s="3">
        <v>0</v>
      </c>
      <c r="F4" s="3">
        <f>SUMPRODUCT($B$2:$E$2, B4:E4)</f>
        <v>15</v>
      </c>
      <c r="G4" s="3" t="s">
        <v>17</v>
      </c>
      <c r="H4" s="3">
        <v>15</v>
      </c>
      <c r="I4" s="3">
        <f>H4-F4</f>
        <v>0</v>
      </c>
    </row>
    <row r="5" spans="1:9" x14ac:dyDescent="0.2">
      <c r="A5" s="1" t="s">
        <v>12</v>
      </c>
      <c r="B5" s="3">
        <v>2</v>
      </c>
      <c r="C5" s="3">
        <v>1</v>
      </c>
      <c r="D5" s="3">
        <v>5</v>
      </c>
      <c r="E5" s="3">
        <v>0</v>
      </c>
      <c r="F5" s="3">
        <f t="shared" ref="F4:F6" si="0">SUMPRODUCT($B$2:$E$2, B5:E5)</f>
        <v>20</v>
      </c>
      <c r="G5" s="3" t="s">
        <v>17</v>
      </c>
      <c r="H5" s="3">
        <v>20</v>
      </c>
      <c r="I5" s="3">
        <f t="shared" ref="I4:I6" si="1">H5-F5</f>
        <v>0</v>
      </c>
    </row>
    <row r="6" spans="1:9" x14ac:dyDescent="0.2">
      <c r="A6" s="1" t="s">
        <v>13</v>
      </c>
      <c r="B6" s="3">
        <v>1</v>
      </c>
      <c r="C6" s="3">
        <v>2</v>
      </c>
      <c r="D6" s="3">
        <v>1</v>
      </c>
      <c r="E6" s="3">
        <v>1</v>
      </c>
      <c r="F6" s="3">
        <f>SUMPRODUCT($B$2:$E$2, B6:E6)</f>
        <v>10</v>
      </c>
      <c r="G6" s="3" t="s">
        <v>17</v>
      </c>
      <c r="H6" s="3">
        <v>10</v>
      </c>
      <c r="I6" s="3">
        <f t="shared" si="1"/>
        <v>0</v>
      </c>
    </row>
    <row r="7" spans="1:9" x14ac:dyDescent="0.2">
      <c r="A7" s="1" t="s">
        <v>15</v>
      </c>
      <c r="B7" s="3">
        <v>1</v>
      </c>
      <c r="C7" s="3">
        <v>2</v>
      </c>
      <c r="D7" s="3">
        <v>3</v>
      </c>
      <c r="E7" s="3">
        <v>-1</v>
      </c>
      <c r="F7" s="3"/>
      <c r="G7" s="3"/>
      <c r="H7" s="3"/>
      <c r="I7" s="3"/>
    </row>
    <row r="8" spans="1:9" x14ac:dyDescent="0.2">
      <c r="A8" s="1" t="s">
        <v>16</v>
      </c>
      <c r="B8" s="2">
        <f>SUMPRODUCT($B$2:$E$2, B7:E7)</f>
        <v>15</v>
      </c>
      <c r="C8" s="3"/>
      <c r="D8" s="3"/>
      <c r="E8" s="3"/>
      <c r="F8" s="3"/>
      <c r="G8" s="3"/>
      <c r="H8" s="3"/>
      <c r="I8" s="3"/>
    </row>
    <row r="21" spans="8:11" ht="15.75" customHeight="1" x14ac:dyDescent="0.2">
      <c r="H21" s="4"/>
    </row>
    <row r="32" spans="8:11" ht="15.75" customHeight="1" x14ac:dyDescent="0.2">
      <c r="K32" s="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D373-4E18-420E-8661-9424F10D1AD8}">
  <dimension ref="A1:G31"/>
  <sheetViews>
    <sheetView showGridLines="0" workbookViewId="0">
      <selection activeCell="H36" sqref="H36"/>
    </sheetView>
  </sheetViews>
  <sheetFormatPr baseColWidth="10" defaultRowHeight="12.75" x14ac:dyDescent="0.2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5" width="10.5703125" bestFit="1" customWidth="1"/>
    <col min="6" max="6" width="9.7109375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25</v>
      </c>
    </row>
    <row r="3" spans="1:5" x14ac:dyDescent="0.2">
      <c r="A3" s="7" t="s">
        <v>26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30</v>
      </c>
    </row>
    <row r="8" spans="1:5" x14ac:dyDescent="0.2">
      <c r="A8" s="7"/>
      <c r="B8" t="s">
        <v>31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35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46</v>
      </c>
      <c r="C16" s="8" t="s">
        <v>47</v>
      </c>
      <c r="D16" s="11">
        <v>15</v>
      </c>
      <c r="E16" s="11">
        <v>15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49</v>
      </c>
      <c r="D21" s="12">
        <v>2.4999999999999991</v>
      </c>
      <c r="E21" s="12">
        <v>2.4999999999999991</v>
      </c>
      <c r="F21" s="10" t="s">
        <v>50</v>
      </c>
    </row>
    <row r="22" spans="1:7" x14ac:dyDescent="0.2">
      <c r="B22" s="10" t="s">
        <v>51</v>
      </c>
      <c r="C22" s="10" t="s">
        <v>52</v>
      </c>
      <c r="D22" s="12">
        <v>2.5</v>
      </c>
      <c r="E22" s="12">
        <v>2.5</v>
      </c>
      <c r="F22" s="10" t="s">
        <v>50</v>
      </c>
    </row>
    <row r="23" spans="1:7" x14ac:dyDescent="0.2">
      <c r="B23" s="10" t="s">
        <v>53</v>
      </c>
      <c r="C23" s="10" t="s">
        <v>54</v>
      </c>
      <c r="D23" s="13">
        <v>2.5</v>
      </c>
      <c r="E23" s="13">
        <v>2.5</v>
      </c>
      <c r="F23" s="10" t="s">
        <v>50</v>
      </c>
    </row>
    <row r="24" spans="1:7" ht="13.5" thickBot="1" x14ac:dyDescent="0.25">
      <c r="B24" s="8" t="s">
        <v>55</v>
      </c>
      <c r="C24" s="8" t="s">
        <v>56</v>
      </c>
      <c r="D24" s="11">
        <v>0</v>
      </c>
      <c r="E24" s="11">
        <v>0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3">
        <v>15</v>
      </c>
      <c r="E29" s="10" t="s">
        <v>59</v>
      </c>
      <c r="F29" s="10" t="s">
        <v>60</v>
      </c>
      <c r="G29" s="10">
        <v>0</v>
      </c>
    </row>
    <row r="30" spans="1:7" x14ac:dyDescent="0.2">
      <c r="B30" s="10" t="s">
        <v>61</v>
      </c>
      <c r="C30" s="10" t="s">
        <v>62</v>
      </c>
      <c r="D30" s="13">
        <v>20</v>
      </c>
      <c r="E30" s="10" t="s">
        <v>63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11">
        <v>10</v>
      </c>
      <c r="E31" s="8" t="s">
        <v>66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9"/>
  <sheetViews>
    <sheetView workbookViewId="0">
      <selection activeCell="B9" sqref="B9"/>
    </sheetView>
  </sheetViews>
  <sheetFormatPr baseColWidth="10" defaultColWidth="12.5703125" defaultRowHeight="15.75" customHeight="1" x14ac:dyDescent="0.2"/>
  <cols>
    <col min="1" max="1" width="17.28515625" customWidth="1"/>
    <col min="2" max="2" width="4.140625" customWidth="1"/>
    <col min="3" max="3" width="3" customWidth="1"/>
    <col min="4" max="4" width="4" customWidth="1"/>
    <col min="5" max="5" width="3" customWidth="1"/>
    <col min="6" max="6" width="4" customWidth="1"/>
    <col min="7" max="7" width="3" customWidth="1"/>
    <col min="8" max="8" width="16.140625" customWidth="1"/>
    <col min="9" max="9" width="10.42578125" customWidth="1"/>
    <col min="10" max="10" width="17.42578125" customWidth="1"/>
    <col min="11" max="11" width="7" customWidth="1"/>
  </cols>
  <sheetData>
    <row r="1" spans="1:11" x14ac:dyDescent="0.2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/>
      <c r="I1" s="1"/>
      <c r="J1" s="1"/>
      <c r="K1" s="1"/>
    </row>
    <row r="2" spans="1:11" x14ac:dyDescent="0.2">
      <c r="A2" s="1" t="s">
        <v>5</v>
      </c>
      <c r="B2" s="2">
        <v>0</v>
      </c>
      <c r="C2" s="2">
        <v>1</v>
      </c>
      <c r="D2" s="2">
        <v>0</v>
      </c>
      <c r="E2" s="2">
        <v>0</v>
      </c>
      <c r="F2" s="2">
        <v>0</v>
      </c>
      <c r="G2" s="2">
        <v>0</v>
      </c>
      <c r="H2" s="3"/>
      <c r="I2" s="3"/>
      <c r="J2" s="3"/>
      <c r="K2" s="3"/>
    </row>
    <row r="3" spans="1:11" x14ac:dyDescent="0.2">
      <c r="A3" s="1" t="s">
        <v>6</v>
      </c>
      <c r="B3" s="1"/>
      <c r="C3" s="1"/>
      <c r="D3" s="1"/>
      <c r="E3" s="1"/>
      <c r="F3" s="1"/>
      <c r="G3" s="1"/>
      <c r="H3" s="1" t="s">
        <v>7</v>
      </c>
      <c r="I3" s="1" t="s">
        <v>8</v>
      </c>
      <c r="J3" s="1" t="s">
        <v>9</v>
      </c>
      <c r="K3" s="1" t="s">
        <v>10</v>
      </c>
    </row>
    <row r="4" spans="1:11" x14ac:dyDescent="0.2">
      <c r="A4" s="1" t="s">
        <v>11</v>
      </c>
      <c r="B4" s="3">
        <v>-1</v>
      </c>
      <c r="C4" s="3">
        <v>1</v>
      </c>
      <c r="D4" s="3">
        <v>-2</v>
      </c>
      <c r="E4" s="3">
        <v>2</v>
      </c>
      <c r="F4" s="3">
        <v>-1</v>
      </c>
      <c r="G4" s="3">
        <v>1</v>
      </c>
      <c r="H4" s="3">
        <f>SUMPRODUCT($B$2:$G$2, B4:G4)</f>
        <v>1</v>
      </c>
      <c r="I4" s="3"/>
      <c r="J4" s="3">
        <v>1</v>
      </c>
      <c r="K4" s="3">
        <f t="shared" ref="K4:K8" si="0">J4-H4</f>
        <v>0</v>
      </c>
    </row>
    <row r="5" spans="1:11" x14ac:dyDescent="0.2">
      <c r="A5" s="1" t="s">
        <v>12</v>
      </c>
      <c r="B5" s="3">
        <v>-2</v>
      </c>
      <c r="C5" s="3">
        <v>2</v>
      </c>
      <c r="D5" s="3">
        <v>-1</v>
      </c>
      <c r="E5" s="3">
        <v>1</v>
      </c>
      <c r="F5" s="3">
        <v>-2</v>
      </c>
      <c r="G5" s="3">
        <v>2</v>
      </c>
      <c r="H5" s="3">
        <f t="shared" ref="H4:H8" si="1">SUMPRODUCT($B$2:$G$2, B5:G5)</f>
        <v>2</v>
      </c>
      <c r="I5" s="3"/>
      <c r="J5" s="3">
        <v>2</v>
      </c>
      <c r="K5" s="3">
        <f t="shared" si="0"/>
        <v>0</v>
      </c>
    </row>
    <row r="6" spans="1:11" x14ac:dyDescent="0.2">
      <c r="A6" s="1" t="s">
        <v>13</v>
      </c>
      <c r="B6" s="3">
        <v>-3</v>
      </c>
      <c r="C6" s="3">
        <v>3</v>
      </c>
      <c r="D6" s="3">
        <v>-5</v>
      </c>
      <c r="E6" s="3">
        <v>5</v>
      </c>
      <c r="F6" s="3">
        <v>-1</v>
      </c>
      <c r="G6" s="3">
        <v>1</v>
      </c>
      <c r="H6" s="3">
        <f t="shared" si="1"/>
        <v>3</v>
      </c>
      <c r="I6" s="3"/>
      <c r="J6" s="3">
        <v>3</v>
      </c>
      <c r="K6" s="3">
        <f t="shared" si="0"/>
        <v>0</v>
      </c>
    </row>
    <row r="7" spans="1:11" x14ac:dyDescent="0.2">
      <c r="A7" s="1" t="s">
        <v>14</v>
      </c>
      <c r="B7" s="3">
        <v>0</v>
      </c>
      <c r="C7" s="3">
        <v>0</v>
      </c>
      <c r="D7" s="3">
        <v>0</v>
      </c>
      <c r="E7" s="3">
        <v>0</v>
      </c>
      <c r="F7" s="3">
        <v>-1</v>
      </c>
      <c r="G7" s="3">
        <v>1</v>
      </c>
      <c r="H7" s="3">
        <f>SUMPRODUCT($B$2:$G$2, B7:G7)</f>
        <v>0</v>
      </c>
      <c r="I7" s="3"/>
      <c r="J7" s="3">
        <v>-1</v>
      </c>
      <c r="K7" s="3">
        <f t="shared" si="0"/>
        <v>-1</v>
      </c>
    </row>
    <row r="8" spans="1:11" x14ac:dyDescent="0.2">
      <c r="A8" s="1" t="s">
        <v>15</v>
      </c>
      <c r="B8" s="3">
        <v>-15</v>
      </c>
      <c r="C8" s="3">
        <v>15</v>
      </c>
      <c r="D8" s="3">
        <v>-20</v>
      </c>
      <c r="E8" s="3">
        <v>20</v>
      </c>
      <c r="F8" s="3">
        <v>-10</v>
      </c>
      <c r="G8" s="3">
        <v>10</v>
      </c>
      <c r="H8" s="3"/>
      <c r="I8" s="3"/>
      <c r="J8" s="3"/>
      <c r="K8" s="3"/>
    </row>
    <row r="9" spans="1:11" x14ac:dyDescent="0.2">
      <c r="A9" s="1" t="s">
        <v>16</v>
      </c>
      <c r="B9" s="6">
        <f>SUMPRODUCT($B$2:$G$2, B8:G8)</f>
        <v>15</v>
      </c>
      <c r="C9" s="3"/>
      <c r="D9" s="3"/>
      <c r="E9" s="3"/>
      <c r="F9" s="3"/>
      <c r="G9" s="3"/>
      <c r="H9" s="3"/>
      <c r="I9" s="3"/>
      <c r="J9" s="3"/>
      <c r="K9" s="3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9"/>
  <sheetViews>
    <sheetView workbookViewId="0"/>
  </sheetViews>
  <sheetFormatPr baseColWidth="10" defaultColWidth="12.5703125" defaultRowHeight="15.75" customHeight="1" x14ac:dyDescent="0.2"/>
  <cols>
    <col min="1" max="1" width="17.28515625" customWidth="1"/>
    <col min="2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x14ac:dyDescent="0.2">
      <c r="A2" s="1" t="s">
        <v>5</v>
      </c>
      <c r="B2" s="2"/>
      <c r="C2" s="2"/>
      <c r="D2" s="2"/>
      <c r="E2" s="3"/>
      <c r="F2" s="3"/>
      <c r="G2" s="3"/>
      <c r="H2" s="3"/>
    </row>
    <row r="3" spans="1:8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x14ac:dyDescent="0.2">
      <c r="A4" s="1" t="s">
        <v>11</v>
      </c>
      <c r="B4" s="3"/>
      <c r="C4" s="3"/>
      <c r="D4" s="3"/>
      <c r="E4" s="3">
        <f t="shared" ref="E4:E7" si="0">SUMPRODUCT($B$2:$D$2, B4:D4)</f>
        <v>0</v>
      </c>
      <c r="F4" s="3"/>
      <c r="G4" s="3"/>
      <c r="H4" s="3">
        <f t="shared" ref="H4:H7" si="1">G4-E4</f>
        <v>0</v>
      </c>
    </row>
    <row r="5" spans="1:8" x14ac:dyDescent="0.2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x14ac:dyDescent="0.2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x14ac:dyDescent="0.2">
      <c r="A7" s="1" t="s">
        <v>14</v>
      </c>
      <c r="B7" s="3"/>
      <c r="C7" s="3"/>
      <c r="D7" s="3"/>
      <c r="E7" s="3">
        <f t="shared" si="0"/>
        <v>0</v>
      </c>
      <c r="F7" s="3"/>
      <c r="G7" s="3"/>
      <c r="H7" s="3">
        <f t="shared" si="1"/>
        <v>0</v>
      </c>
    </row>
    <row r="8" spans="1:8" x14ac:dyDescent="0.2">
      <c r="A8" s="1" t="s">
        <v>15</v>
      </c>
      <c r="B8" s="3"/>
      <c r="C8" s="3"/>
      <c r="D8" s="3"/>
      <c r="E8" s="3"/>
      <c r="F8" s="3"/>
      <c r="G8" s="3"/>
      <c r="H8" s="3"/>
    </row>
    <row r="9" spans="1:8" x14ac:dyDescent="0.2">
      <c r="A9" s="1" t="s">
        <v>16</v>
      </c>
      <c r="B9" s="2">
        <f>SUMPRODUCT($B$2:$D$2, B8:D8)</f>
        <v>0</v>
      </c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8"/>
  <sheetViews>
    <sheetView workbookViewId="0"/>
  </sheetViews>
  <sheetFormatPr baseColWidth="10" defaultColWidth="12.5703125" defaultRowHeight="15.75" customHeight="1" x14ac:dyDescent="0.2"/>
  <cols>
    <col min="1" max="1" width="17.28515625" customWidth="1"/>
    <col min="2" max="5" width="3" customWidth="1"/>
    <col min="6" max="6" width="16.140625" customWidth="1"/>
    <col min="7" max="7" width="10.42578125" customWidth="1"/>
    <col min="8" max="8" width="17.42578125" customWidth="1"/>
    <col min="9" max="9" width="7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x14ac:dyDescent="0.2">
      <c r="A2" s="1" t="s">
        <v>5</v>
      </c>
      <c r="B2" s="2"/>
      <c r="C2" s="2"/>
      <c r="D2" s="2"/>
      <c r="E2" s="2"/>
      <c r="F2" s="3"/>
      <c r="G2" s="3"/>
      <c r="H2" s="3"/>
      <c r="I2" s="3"/>
    </row>
    <row r="3" spans="1:9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x14ac:dyDescent="0.2">
      <c r="A4" s="1" t="s">
        <v>11</v>
      </c>
      <c r="B4" s="3"/>
      <c r="C4" s="3"/>
      <c r="D4" s="3"/>
      <c r="E4" s="3"/>
      <c r="F4" s="3">
        <f t="shared" ref="F4:F6" si="0">SUMPRODUCT($B$2:$E$2, B4:E4)</f>
        <v>0</v>
      </c>
      <c r="G4" s="3"/>
      <c r="H4" s="3"/>
      <c r="I4" s="3">
        <f t="shared" ref="I4:I6" si="1">H4-F4</f>
        <v>0</v>
      </c>
    </row>
    <row r="5" spans="1:9" x14ac:dyDescent="0.2">
      <c r="A5" s="1" t="s">
        <v>12</v>
      </c>
      <c r="B5" s="3"/>
      <c r="C5" s="3"/>
      <c r="D5" s="3"/>
      <c r="E5" s="3"/>
      <c r="F5" s="3">
        <f t="shared" si="0"/>
        <v>0</v>
      </c>
      <c r="G5" s="3"/>
      <c r="H5" s="3"/>
      <c r="I5" s="3">
        <f t="shared" si="1"/>
        <v>0</v>
      </c>
    </row>
    <row r="6" spans="1:9" x14ac:dyDescent="0.2">
      <c r="A6" s="1" t="s">
        <v>13</v>
      </c>
      <c r="B6" s="3"/>
      <c r="C6" s="3"/>
      <c r="D6" s="3"/>
      <c r="E6" s="3"/>
      <c r="F6" s="3">
        <f t="shared" si="0"/>
        <v>0</v>
      </c>
      <c r="G6" s="3"/>
      <c r="H6" s="3"/>
      <c r="I6" s="3">
        <f t="shared" si="1"/>
        <v>0</v>
      </c>
    </row>
    <row r="7" spans="1:9" x14ac:dyDescent="0.2">
      <c r="A7" s="1" t="s">
        <v>15</v>
      </c>
      <c r="B7" s="3"/>
      <c r="C7" s="3"/>
      <c r="D7" s="3"/>
      <c r="E7" s="3"/>
      <c r="F7" s="3"/>
      <c r="G7" s="3"/>
      <c r="H7" s="3"/>
      <c r="I7" s="3"/>
    </row>
    <row r="8" spans="1:9" x14ac:dyDescent="0.2">
      <c r="A8" s="1" t="s">
        <v>16</v>
      </c>
      <c r="B8" s="2">
        <f>SUMPRODUCT($B$2:$E$2, B7:E7)</f>
        <v>0</v>
      </c>
      <c r="C8" s="3"/>
      <c r="D8" s="3"/>
      <c r="E8" s="3"/>
      <c r="F8" s="3"/>
      <c r="G8" s="3"/>
      <c r="H8" s="3"/>
      <c r="I8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8"/>
  <sheetViews>
    <sheetView workbookViewId="0"/>
  </sheetViews>
  <sheetFormatPr baseColWidth="10" defaultColWidth="12.5703125" defaultRowHeight="15.75" customHeight="1" x14ac:dyDescent="0.2"/>
  <cols>
    <col min="1" max="1" width="17.28515625" customWidth="1"/>
    <col min="2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x14ac:dyDescent="0.2">
      <c r="A2" s="1" t="s">
        <v>5</v>
      </c>
      <c r="B2" s="2"/>
      <c r="C2" s="2"/>
      <c r="D2" s="2"/>
      <c r="E2" s="3"/>
      <c r="F2" s="3"/>
      <c r="G2" s="3"/>
      <c r="H2" s="3"/>
    </row>
    <row r="3" spans="1:8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x14ac:dyDescent="0.2">
      <c r="A4" s="1" t="s">
        <v>11</v>
      </c>
      <c r="B4" s="3"/>
      <c r="C4" s="3"/>
      <c r="D4" s="3"/>
      <c r="E4" s="3">
        <f t="shared" ref="E4:E6" si="0">SUMPRODUCT($B$2:$D$2, B4:D4)</f>
        <v>0</v>
      </c>
      <c r="F4" s="3"/>
      <c r="G4" s="3"/>
      <c r="H4" s="3">
        <f t="shared" ref="H4:H6" si="1">G4-E4</f>
        <v>0</v>
      </c>
    </row>
    <row r="5" spans="1:8" x14ac:dyDescent="0.2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x14ac:dyDescent="0.2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x14ac:dyDescent="0.2">
      <c r="A7" s="1" t="s">
        <v>15</v>
      </c>
      <c r="B7" s="3"/>
      <c r="C7" s="3"/>
      <c r="D7" s="3"/>
      <c r="E7" s="3"/>
      <c r="F7" s="3"/>
      <c r="G7" s="3"/>
      <c r="H7" s="3"/>
    </row>
    <row r="8" spans="1:8" x14ac:dyDescent="0.2">
      <c r="A8" s="1" t="s">
        <v>16</v>
      </c>
      <c r="B8" s="2">
        <f>SUMPRODUCT($B$2:$D$2, B7:D7)</f>
        <v>0</v>
      </c>
      <c r="C8" s="3"/>
      <c r="D8" s="3"/>
      <c r="E8" s="3"/>
      <c r="F8" s="3"/>
      <c r="G8" s="3"/>
      <c r="H8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8"/>
  <sheetViews>
    <sheetView workbookViewId="0"/>
  </sheetViews>
  <sheetFormatPr baseColWidth="10" defaultColWidth="12.5703125" defaultRowHeight="15.75" customHeight="1" x14ac:dyDescent="0.2"/>
  <cols>
    <col min="1" max="1" width="17.28515625" customWidth="1"/>
    <col min="2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x14ac:dyDescent="0.2">
      <c r="A2" s="1" t="s">
        <v>5</v>
      </c>
      <c r="B2" s="2"/>
      <c r="C2" s="2"/>
      <c r="D2" s="2"/>
      <c r="E2" s="3"/>
      <c r="F2" s="3"/>
      <c r="G2" s="3"/>
      <c r="H2" s="3"/>
    </row>
    <row r="3" spans="1:8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x14ac:dyDescent="0.2">
      <c r="A4" s="1" t="s">
        <v>11</v>
      </c>
      <c r="B4" s="3"/>
      <c r="C4" s="3"/>
      <c r="D4" s="3"/>
      <c r="E4" s="3">
        <f t="shared" ref="E4:E6" si="0">SUMPRODUCT($B$2:$D$2, B4:D4)</f>
        <v>0</v>
      </c>
      <c r="F4" s="3"/>
      <c r="G4" s="3"/>
      <c r="H4" s="3">
        <f t="shared" ref="H4:H6" si="1">G4-E4</f>
        <v>0</v>
      </c>
    </row>
    <row r="5" spans="1:8" x14ac:dyDescent="0.2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x14ac:dyDescent="0.2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x14ac:dyDescent="0.2">
      <c r="A7" s="1" t="s">
        <v>15</v>
      </c>
      <c r="B7" s="3"/>
      <c r="C7" s="3"/>
      <c r="D7" s="3"/>
      <c r="E7" s="3"/>
      <c r="F7" s="3"/>
      <c r="G7" s="3"/>
      <c r="H7" s="3"/>
    </row>
    <row r="8" spans="1:8" x14ac:dyDescent="0.2">
      <c r="A8" s="1" t="s">
        <v>16</v>
      </c>
      <c r="B8" s="2">
        <f>SUMPRODUCT($B$2:$D$2, B7:D7)</f>
        <v>0</v>
      </c>
      <c r="C8" s="3"/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E1 - Primal</vt:lpstr>
      <vt:lpstr>E1 - Dual</vt:lpstr>
      <vt:lpstr>E2 - Primal</vt:lpstr>
      <vt:lpstr>E2 - Informe Primal</vt:lpstr>
      <vt:lpstr>E2 - Dual</vt:lpstr>
      <vt:lpstr>E3 - Primal</vt:lpstr>
      <vt:lpstr>E3 - Dual</vt:lpstr>
      <vt:lpstr>E4 - Primal</vt:lpstr>
      <vt:lpstr>E4 - 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DAVID LEON MARTENCO</cp:lastModifiedBy>
  <dcterms:modified xsi:type="dcterms:W3CDTF">2026-10-14T02:52:29Z</dcterms:modified>
</cp:coreProperties>
</file>